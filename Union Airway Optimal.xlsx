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vishnuvardhanakula/Downloads/"/>
    </mc:Choice>
  </mc:AlternateContent>
  <xr:revisionPtr revIDLastSave="0" documentId="8_{CC91E5DF-AB73-5A44-94F5-502EB6AEC278}" xr6:coauthVersionLast="47" xr6:coauthVersionMax="47" xr10:uidLastSave="{00000000-0000-0000-0000-000000000000}"/>
  <bookViews>
    <workbookView xWindow="0" yWindow="500" windowWidth="28800" windowHeight="15840" tabRatio="754" activeTab="2" xr2:uid="{00000000-000D-0000-FFFF-FFFF00000000}"/>
  </bookViews>
  <sheets>
    <sheet name="Understated (-30%)" sheetId="13" r:id="rId1"/>
    <sheet name="Overstted (+30%)" sheetId="12" r:id="rId2"/>
    <sheet name="Union Airways Optimal" sheetId="3" r:id="rId3"/>
  </sheets>
  <definedNames>
    <definedName name="CostPerShift" localSheetId="1">'Overstted (+30%)'!$C$5:$G$5</definedName>
    <definedName name="CostPerShift" localSheetId="0">'Understated (-30%)'!$C$5:$G$5</definedName>
    <definedName name="CostPerShift">'Union Airways Optimal'!$C$5:$G$5</definedName>
    <definedName name="MinimumNeeded" localSheetId="1">'Overstted (+30%)'!$J$8:$J$17</definedName>
    <definedName name="MinimumNeeded" localSheetId="0">'Understated (-30%)'!$J$8:$J$17</definedName>
    <definedName name="MinimumNeeded">'Union Airways Optimal'!$J$8:$J$17</definedName>
    <definedName name="NumberWorking" localSheetId="1">'Overstted (+30%)'!$C$21:$G$21</definedName>
    <definedName name="NumberWorking" localSheetId="0">'Understated (-30%)'!$C$21:$G$21</definedName>
    <definedName name="NumberWorking">'Union Airways Optimal'!$C$21:$G$21</definedName>
    <definedName name="ShiftWorksTimePeriod" localSheetId="1">'Overstted (+30%)'!$C$8:$G$17</definedName>
    <definedName name="ShiftWorksTimePeriod" localSheetId="0">'Understated (-30%)'!$C$8:$G$17</definedName>
    <definedName name="ShiftWorksTimePeriod">'Union Airways Optimal'!$C$8:$G$17</definedName>
    <definedName name="solver_adj" localSheetId="1" hidden="1">'Overstted (+30%)'!$C$21:$G$21</definedName>
    <definedName name="solver_adj" localSheetId="0" hidden="1">'Understated (-30%)'!$C$21:$G$21</definedName>
    <definedName name="solver_adj" localSheetId="2" hidden="1">'Union Airways Optimal'!$C$21:$G$21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1</definedName>
    <definedName name="solver_drv" localSheetId="2" hidden="1">1</definedName>
    <definedName name="solver_eng" localSheetId="1" hidden="1">2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100</definedName>
    <definedName name="solver_itr" localSheetId="0" hidden="1">100</definedName>
    <definedName name="solver_itr" localSheetId="2" hidden="1">100</definedName>
    <definedName name="solver_lhs1" localSheetId="1" hidden="1">'Overstted (+30%)'!$H$8:$H$17</definedName>
    <definedName name="solver_lhs1" localSheetId="0" hidden="1">'Understated (-30%)'!$H$8:$H$17</definedName>
    <definedName name="solver_lhs1" localSheetId="2" hidden="1">'Union Airways Optimal'!$H$8:$H$17</definedName>
    <definedName name="solver_lhs2" localSheetId="1" hidden="1">'Overstted (+30%)'!$C$21:$G$21</definedName>
    <definedName name="solver_lhs2" localSheetId="0" hidden="1">'Understated (-30%)'!$C$21:$G$21</definedName>
    <definedName name="solver_lhs2" localSheetId="2" hidden="1">'Union Airways Optimal'!$C$21:$G$21</definedName>
    <definedName name="solver_lin" localSheetId="1" hidden="1">1</definedName>
    <definedName name="solver_lin" localSheetId="0" hidden="1">1</definedName>
    <definedName name="solver_lin" localSheetId="2" hidden="1">1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1</definedName>
    <definedName name="solver_num" localSheetId="0" hidden="1">1</definedName>
    <definedName name="solver_num" localSheetId="2" hidden="1">1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'Overstted (+30%)'!$J$21</definedName>
    <definedName name="solver_opt" localSheetId="0" hidden="1">'Understated (-30%)'!$J$21</definedName>
    <definedName name="solver_opt" localSheetId="2" hidden="1">'Union Airways Optimal'!$J$21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1</definedName>
    <definedName name="solver_rbv" localSheetId="0" hidden="1">1</definedName>
    <definedName name="solver_rbv" localSheetId="2" hidden="1">1</definedName>
    <definedName name="solver_rel1" localSheetId="1" hidden="1">3</definedName>
    <definedName name="solver_rel1" localSheetId="0" hidden="1">3</definedName>
    <definedName name="solver_rel1" localSheetId="2" hidden="1">3</definedName>
    <definedName name="solver_rel2" localSheetId="1" hidden="1">3</definedName>
    <definedName name="solver_rel2" localSheetId="0" hidden="1">3</definedName>
    <definedName name="solver_rel2" localSheetId="2" hidden="1">3</definedName>
    <definedName name="solver_rhs1" localSheetId="1" hidden="1">'Overstted (+30%)'!$J$8:$J$17</definedName>
    <definedName name="solver_rhs1" localSheetId="0" hidden="1">'Understated (-30%)'!$J$8:$J$17</definedName>
    <definedName name="solver_rhs1" localSheetId="2" hidden="1">MinimumNeeded</definedName>
    <definedName name="solver_rhs2" localSheetId="1" hidden="1">0</definedName>
    <definedName name="solver_rhs2" localSheetId="0" hidden="1">0</definedName>
    <definedName name="solver_rhs2" localSheetId="2" hidden="1">0</definedName>
    <definedName name="solver_rlx" localSheetId="1" hidden="1">1</definedName>
    <definedName name="solver_rlx" localSheetId="0" hidden="1">1</definedName>
    <definedName name="solver_rlx" localSheetId="2" hidden="1">1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2</definedName>
    <definedName name="solver_scl" localSheetId="0" hidden="1">2</definedName>
    <definedName name="solver_scl" localSheetId="2" hidden="1">2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100</definedName>
    <definedName name="solver_ssz" localSheetId="0" hidden="1">100</definedName>
    <definedName name="solver_ssz" localSheetId="2" hidden="1">100</definedName>
    <definedName name="solver_tim" localSheetId="1" hidden="1">100</definedName>
    <definedName name="solver_tim" localSheetId="0" hidden="1">100</definedName>
    <definedName name="solver_tim" localSheetId="2" hidden="1">100</definedName>
    <definedName name="solver_tmp" localSheetId="1" hidden="1">0</definedName>
    <definedName name="solver_tmp" localSheetId="0" hidden="1">0</definedName>
    <definedName name="solver_tmp" localSheetId="2" hidden="1">0</definedName>
    <definedName name="solver_tol" localSheetId="1" hidden="1">0.05</definedName>
    <definedName name="solver_tol" localSheetId="0" hidden="1">0.05</definedName>
    <definedName name="solver_tol" localSheetId="2" hidden="1">0.05</definedName>
    <definedName name="solver_typ" localSheetId="1" hidden="1">2</definedName>
    <definedName name="solver_typ" localSheetId="0" hidden="1">2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  <definedName name="TotalCost" localSheetId="1">'Overstted (+30%)'!$J$21</definedName>
    <definedName name="TotalCost" localSheetId="0">'Understated (-30%)'!$J$21</definedName>
    <definedName name="TotalCost">'Union Airways Optimal'!$J$21</definedName>
    <definedName name="TotalWorking" localSheetId="1">'Overstted (+30%)'!$H$8:$H$17</definedName>
    <definedName name="TotalWorking" localSheetId="0">'Understated (-30%)'!$H$8:$H$17</definedName>
    <definedName name="TotalWorking">'Union Airways Optimal'!$H$8:$H$17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G25" i="13"/>
  <c r="G23" i="13"/>
  <c r="F23" i="13"/>
  <c r="E23" i="13"/>
  <c r="D23" i="13"/>
  <c r="C23" i="13"/>
  <c r="J21" i="13"/>
  <c r="H17" i="13"/>
  <c r="H16" i="13"/>
  <c r="H15" i="13"/>
  <c r="H14" i="13"/>
  <c r="H13" i="13"/>
  <c r="H12" i="13"/>
  <c r="H11" i="13"/>
  <c r="H10" i="13"/>
  <c r="H9" i="13"/>
  <c r="H8" i="13"/>
  <c r="G25" i="12"/>
  <c r="G23" i="12"/>
  <c r="F23" i="12"/>
  <c r="E23" i="12"/>
  <c r="D23" i="12"/>
  <c r="C23" i="12"/>
  <c r="J21" i="12"/>
  <c r="H17" i="12"/>
  <c r="H16" i="12"/>
  <c r="H15" i="12"/>
  <c r="H14" i="12"/>
  <c r="H13" i="12"/>
  <c r="H12" i="12"/>
  <c r="H11" i="12"/>
  <c r="H10" i="12"/>
  <c r="H9" i="12"/>
  <c r="H8" i="12"/>
  <c r="G25" i="3"/>
  <c r="G23" i="3"/>
  <c r="F23" i="3"/>
  <c r="E23" i="3"/>
  <c r="D23" i="3"/>
  <c r="C23" i="3"/>
  <c r="H8" i="3"/>
  <c r="H9" i="3"/>
  <c r="H10" i="3"/>
  <c r="H11" i="3"/>
  <c r="H12" i="3"/>
  <c r="H13" i="3"/>
  <c r="H14" i="3"/>
  <c r="H15" i="3"/>
  <c r="H16" i="3"/>
  <c r="J21" i="3"/>
</calcChain>
</file>

<file path=xl/sharedStrings.xml><?xml version="1.0" encoding="utf-8"?>
<sst xmlns="http://schemas.openxmlformats.org/spreadsheetml/2006/main" count="201" uniqueCount="50">
  <si>
    <t>Time Period</t>
  </si>
  <si>
    <t>Working</t>
  </si>
  <si>
    <t>10pm-12am</t>
  </si>
  <si>
    <t>6am-2pm</t>
  </si>
  <si>
    <t>8am-4pm</t>
  </si>
  <si>
    <t>Noon-8pm</t>
  </si>
  <si>
    <t>4pm-midnight</t>
  </si>
  <si>
    <t>10pm-6am</t>
  </si>
  <si>
    <t>6am-8am</t>
  </si>
  <si>
    <t>8am-10am</t>
  </si>
  <si>
    <t>2pm-4pm</t>
  </si>
  <si>
    <t>4pm-6pm</t>
  </si>
  <si>
    <t>6pm-8pm</t>
  </si>
  <si>
    <t>8pm-10pm</t>
  </si>
  <si>
    <t>10am- 12pm</t>
  </si>
  <si>
    <t>12pm-2pm</t>
  </si>
  <si>
    <t>12am-6am</t>
  </si>
  <si>
    <t>Shift Works Time Period? (1=yes, 0=no)</t>
  </si>
  <si>
    <t>Needed</t>
  </si>
  <si>
    <t>Minimum</t>
  </si>
  <si>
    <t>Total</t>
  </si>
  <si>
    <t>CostPerShift</t>
  </si>
  <si>
    <t>MinimumNeeded</t>
  </si>
  <si>
    <t>NumberWorking</t>
  </si>
  <si>
    <t>TotalCost</t>
  </si>
  <si>
    <t>TotalWorking</t>
  </si>
  <si>
    <t>C5:G5</t>
  </si>
  <si>
    <t>J8:J17</t>
  </si>
  <si>
    <t>C21:G21</t>
  </si>
  <si>
    <t>J21</t>
  </si>
  <si>
    <t>H8:H17</t>
  </si>
  <si>
    <t>Range Name</t>
  </si>
  <si>
    <t>Cells</t>
  </si>
  <si>
    <t>ShiftWorksTimePeriod</t>
  </si>
  <si>
    <t>C8:G17</t>
  </si>
  <si>
    <t>&gt;=</t>
  </si>
  <si>
    <t>Total Cost Per Shift:</t>
  </si>
  <si>
    <t>Shift 1</t>
  </si>
  <si>
    <t>Shift 2</t>
  </si>
  <si>
    <t>Shift 3</t>
  </si>
  <si>
    <t>Shift 4</t>
  </si>
  <si>
    <t>Shift 5</t>
  </si>
  <si>
    <t>Cost per Agent per Shift</t>
  </si>
  <si>
    <t>Number of Agents Working:</t>
  </si>
  <si>
    <t>Total Number of Agents:</t>
  </si>
  <si>
    <t>Total Daily Cost</t>
  </si>
  <si>
    <t>Benefit</t>
  </si>
  <si>
    <t>Union Airways Personnel Scheduling Cost Model</t>
  </si>
  <si>
    <t>Union Airways Personnel Scheduling Cost Model - Understated</t>
  </si>
  <si>
    <t>Union Airways Personnel Scheduling Cost Model - Overstated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</si>
</sst>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name val="Geneva"/>
      <charset val="1"/>
    </font>
    <font>
      <sz val="10"/>
      <name val="Geneva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44" fontId="2" fillId="0" borderId="0" xfId="1" applyFont="1" applyFill="1" applyBorder="1" applyAlignment="1">
      <alignment horizontal="center"/>
    </xf>
    <xf numFmtId="6" fontId="2" fillId="3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2" fillId="4" borderId="9" xfId="1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6" fontId="2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6" fontId="2" fillId="6" borderId="13" xfId="0" applyNumberFormat="1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7AA-F965-4C1E-98A2-F283C613593D}">
  <sheetPr>
    <pageSetUpPr fitToPage="1"/>
  </sheetPr>
  <dimension ref="A1:M25"/>
  <sheetViews>
    <sheetView zoomScale="126" zoomScaleNormal="126" workbookViewId="0">
      <selection activeCell="B32" sqref="B32"/>
    </sheetView>
  </sheetViews>
  <sheetFormatPr baseColWidth="10" defaultColWidth="10.7109375" defaultRowHeight="13" x14ac:dyDescent="0.15"/>
  <cols>
    <col min="1" max="1" width="2.7109375" style="2" customWidth="1"/>
    <col min="2" max="2" width="22.140625" style="14" customWidth="1"/>
    <col min="3" max="5" width="9.7109375" style="2" customWidth="1"/>
    <col min="6" max="6" width="12.7109375" style="2" customWidth="1"/>
    <col min="7" max="7" width="9.7109375" style="2" customWidth="1"/>
    <col min="8" max="8" width="7.85546875" style="2" bestFit="1" customWidth="1"/>
    <col min="9" max="9" width="3.140625" style="2" customWidth="1"/>
    <col min="10" max="10" width="9.42578125" style="2" bestFit="1" customWidth="1"/>
    <col min="11" max="11" width="5.7109375" style="2" customWidth="1"/>
    <col min="12" max="12" width="19.7109375" style="2" bestFit="1" customWidth="1"/>
    <col min="13" max="13" width="8.28515625" style="2" bestFit="1" customWidth="1"/>
    <col min="14" max="16384" width="10.7109375" style="2"/>
  </cols>
  <sheetData>
    <row r="1" spans="1:13" ht="18" x14ac:dyDescent="0.2">
      <c r="A1" s="1" t="s">
        <v>48</v>
      </c>
    </row>
    <row r="2" spans="1:13" ht="14" thickBot="1" x14ac:dyDescent="0.2"/>
    <row r="3" spans="1:13" ht="14" thickBot="1" x14ac:dyDescent="0.2"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L3" s="3" t="s">
        <v>31</v>
      </c>
      <c r="M3" s="4" t="s">
        <v>32</v>
      </c>
    </row>
    <row r="4" spans="1:13" x14ac:dyDescent="0.15">
      <c r="C4" s="21" t="s">
        <v>37</v>
      </c>
      <c r="D4" s="21" t="s">
        <v>38</v>
      </c>
      <c r="E4" s="21" t="s">
        <v>39</v>
      </c>
      <c r="F4" s="21" t="s">
        <v>40</v>
      </c>
      <c r="G4" s="21" t="s">
        <v>41</v>
      </c>
      <c r="L4" s="5" t="s">
        <v>21</v>
      </c>
      <c r="M4" s="6" t="s">
        <v>26</v>
      </c>
    </row>
    <row r="5" spans="1:13" x14ac:dyDescent="0.15">
      <c r="B5" s="20" t="s">
        <v>42</v>
      </c>
      <c r="C5" s="13">
        <v>185</v>
      </c>
      <c r="D5" s="13">
        <v>176</v>
      </c>
      <c r="E5" s="13">
        <v>202</v>
      </c>
      <c r="F5" s="13">
        <v>220</v>
      </c>
      <c r="G5" s="13">
        <v>229</v>
      </c>
      <c r="J5" s="21" t="s">
        <v>46</v>
      </c>
      <c r="L5" s="7" t="s">
        <v>22</v>
      </c>
      <c r="M5" s="8" t="s">
        <v>27</v>
      </c>
    </row>
    <row r="6" spans="1:13" x14ac:dyDescent="0.15">
      <c r="H6" s="21" t="s">
        <v>20</v>
      </c>
      <c r="J6" s="21" t="s">
        <v>19</v>
      </c>
      <c r="L6" s="7" t="s">
        <v>23</v>
      </c>
      <c r="M6" s="8" t="s">
        <v>28</v>
      </c>
    </row>
    <row r="7" spans="1:13" x14ac:dyDescent="0.15">
      <c r="B7" s="20" t="s">
        <v>0</v>
      </c>
      <c r="E7" s="2" t="s">
        <v>17</v>
      </c>
      <c r="H7" s="21" t="s">
        <v>1</v>
      </c>
      <c r="J7" s="21" t="s">
        <v>18</v>
      </c>
      <c r="L7" s="7" t="s">
        <v>33</v>
      </c>
      <c r="M7" s="8" t="s">
        <v>34</v>
      </c>
    </row>
    <row r="8" spans="1:13" x14ac:dyDescent="0.15">
      <c r="B8" s="14" t="s">
        <v>8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2">
        <f t="shared" ref="H8:H17" si="0">SUMPRODUCT(C8:G8,NumberWorking)</f>
        <v>45</v>
      </c>
      <c r="I8" s="2" t="s">
        <v>35</v>
      </c>
      <c r="J8" s="9">
        <v>45</v>
      </c>
      <c r="L8" s="7" t="s">
        <v>24</v>
      </c>
      <c r="M8" s="8" t="s">
        <v>29</v>
      </c>
    </row>
    <row r="9" spans="1:13" ht="14" thickBot="1" x14ac:dyDescent="0.2">
      <c r="B9" s="14" t="s">
        <v>9</v>
      </c>
      <c r="C9" s="9">
        <v>1</v>
      </c>
      <c r="D9" s="9">
        <v>1</v>
      </c>
      <c r="E9" s="9">
        <v>0</v>
      </c>
      <c r="F9" s="9">
        <v>0</v>
      </c>
      <c r="G9" s="9">
        <v>0</v>
      </c>
      <c r="H9" s="2">
        <f t="shared" si="0"/>
        <v>94</v>
      </c>
      <c r="I9" s="2" t="s">
        <v>35</v>
      </c>
      <c r="J9" s="9">
        <v>88</v>
      </c>
      <c r="L9" s="10" t="s">
        <v>25</v>
      </c>
      <c r="M9" s="11" t="s">
        <v>30</v>
      </c>
    </row>
    <row r="10" spans="1:13" x14ac:dyDescent="0.15">
      <c r="B10" s="14" t="s">
        <v>14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2">
        <f t="shared" si="0"/>
        <v>94</v>
      </c>
      <c r="I10" s="2" t="s">
        <v>35</v>
      </c>
      <c r="J10" s="9">
        <v>71</v>
      </c>
    </row>
    <row r="11" spans="1:13" x14ac:dyDescent="0.15">
      <c r="B11" s="14" t="s">
        <v>15</v>
      </c>
      <c r="C11" s="9">
        <v>1</v>
      </c>
      <c r="D11" s="9">
        <v>1</v>
      </c>
      <c r="E11" s="9">
        <v>1</v>
      </c>
      <c r="F11" s="9">
        <v>0</v>
      </c>
      <c r="G11" s="9">
        <v>0</v>
      </c>
      <c r="H11" s="2">
        <f t="shared" si="0"/>
        <v>115</v>
      </c>
      <c r="I11" s="2" t="s">
        <v>35</v>
      </c>
      <c r="J11" s="9">
        <v>95</v>
      </c>
    </row>
    <row r="12" spans="1:13" x14ac:dyDescent="0.15">
      <c r="B12" s="14" t="s">
        <v>10</v>
      </c>
      <c r="C12" s="9">
        <v>0</v>
      </c>
      <c r="D12" s="9">
        <v>1</v>
      </c>
      <c r="E12" s="9">
        <v>1</v>
      </c>
      <c r="F12" s="9">
        <v>0</v>
      </c>
      <c r="G12" s="9">
        <v>0</v>
      </c>
      <c r="H12" s="2">
        <f t="shared" si="0"/>
        <v>70</v>
      </c>
      <c r="I12" s="2" t="s">
        <v>35</v>
      </c>
      <c r="J12" s="9">
        <v>70</v>
      </c>
    </row>
    <row r="13" spans="1:13" x14ac:dyDescent="0.15">
      <c r="B13" s="14" t="s">
        <v>11</v>
      </c>
      <c r="C13" s="9">
        <v>0</v>
      </c>
      <c r="D13" s="9">
        <v>0</v>
      </c>
      <c r="E13" s="9">
        <v>1</v>
      </c>
      <c r="F13" s="9">
        <v>1</v>
      </c>
      <c r="G13" s="9">
        <v>0</v>
      </c>
      <c r="H13" s="2">
        <f t="shared" si="0"/>
        <v>90</v>
      </c>
      <c r="I13" s="2" t="s">
        <v>35</v>
      </c>
      <c r="J13" s="9">
        <v>80</v>
      </c>
    </row>
    <row r="14" spans="1:13" x14ac:dyDescent="0.15">
      <c r="B14" s="14" t="s">
        <v>12</v>
      </c>
      <c r="C14" s="9">
        <v>0</v>
      </c>
      <c r="D14" s="9">
        <v>0</v>
      </c>
      <c r="E14" s="9">
        <v>1</v>
      </c>
      <c r="F14" s="9">
        <v>1</v>
      </c>
      <c r="G14" s="9">
        <v>0</v>
      </c>
      <c r="H14" s="2">
        <f t="shared" si="0"/>
        <v>90</v>
      </c>
      <c r="I14" s="2" t="s">
        <v>35</v>
      </c>
      <c r="J14" s="9">
        <v>90</v>
      </c>
    </row>
    <row r="15" spans="1:13" x14ac:dyDescent="0.15">
      <c r="B15" s="14" t="s">
        <v>13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2">
        <f t="shared" si="0"/>
        <v>69</v>
      </c>
      <c r="I15" s="2" t="s">
        <v>35</v>
      </c>
      <c r="J15" s="9">
        <v>69</v>
      </c>
    </row>
    <row r="16" spans="1:13" x14ac:dyDescent="0.15">
      <c r="B16" s="14" t="s">
        <v>2</v>
      </c>
      <c r="C16" s="9">
        <v>0</v>
      </c>
      <c r="D16" s="9">
        <v>0</v>
      </c>
      <c r="E16" s="9">
        <v>0</v>
      </c>
      <c r="F16" s="9">
        <v>1</v>
      </c>
      <c r="G16" s="9">
        <v>1</v>
      </c>
      <c r="H16" s="2">
        <f t="shared" si="0"/>
        <v>84</v>
      </c>
      <c r="I16" s="2" t="s">
        <v>35</v>
      </c>
      <c r="J16" s="9">
        <v>30</v>
      </c>
    </row>
    <row r="17" spans="2:10" x14ac:dyDescent="0.15">
      <c r="B17" s="14" t="s">
        <v>16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2">
        <f t="shared" si="0"/>
        <v>15</v>
      </c>
      <c r="I17" s="2" t="s">
        <v>35</v>
      </c>
      <c r="J17" s="9">
        <v>15</v>
      </c>
    </row>
    <row r="18" spans="2:10" x14ac:dyDescent="0.15">
      <c r="I18" s="12"/>
    </row>
    <row r="19" spans="2:10" x14ac:dyDescent="0.15"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</row>
    <row r="20" spans="2:10" ht="14" thickBot="1" x14ac:dyDescent="0.2">
      <c r="C20" s="2" t="s">
        <v>37</v>
      </c>
      <c r="D20" s="2" t="s">
        <v>38</v>
      </c>
      <c r="E20" s="2" t="s">
        <v>39</v>
      </c>
      <c r="F20" s="2" t="s">
        <v>40</v>
      </c>
      <c r="G20" s="2" t="s">
        <v>41</v>
      </c>
      <c r="J20" s="21" t="s">
        <v>45</v>
      </c>
    </row>
    <row r="21" spans="2:10" ht="14" thickBot="1" x14ac:dyDescent="0.2">
      <c r="B21" s="20" t="s">
        <v>43</v>
      </c>
      <c r="C21" s="16">
        <v>45</v>
      </c>
      <c r="D21" s="17">
        <v>49</v>
      </c>
      <c r="E21" s="17">
        <v>21</v>
      </c>
      <c r="F21" s="17">
        <v>69</v>
      </c>
      <c r="G21" s="18">
        <v>15</v>
      </c>
      <c r="J21" s="15">
        <f>SUMPRODUCT(CostPerShift,NumberWorking)</f>
        <v>39806</v>
      </c>
    </row>
    <row r="23" spans="2:10" x14ac:dyDescent="0.15">
      <c r="B23" s="20" t="s">
        <v>36</v>
      </c>
      <c r="C23" s="22">
        <f>C5*C21</f>
        <v>8325</v>
      </c>
      <c r="D23" s="22">
        <f>D5*D21</f>
        <v>8624</v>
      </c>
      <c r="E23" s="22">
        <f>E5*E21</f>
        <v>4242</v>
      </c>
      <c r="F23" s="22">
        <f>F5*F21</f>
        <v>15180</v>
      </c>
      <c r="G23" s="22">
        <f>G5*G21</f>
        <v>3435</v>
      </c>
      <c r="J23" s="19"/>
    </row>
    <row r="25" spans="2:10" x14ac:dyDescent="0.15">
      <c r="B25" s="20" t="s">
        <v>44</v>
      </c>
      <c r="G25" s="23">
        <f>SUM(NumberWorking)</f>
        <v>199</v>
      </c>
    </row>
  </sheetData>
  <printOptions headings="1" gridLines="1"/>
  <pageMargins left="0.75" right="0.75" top="1" bottom="1" header="0.5" footer="0.5"/>
  <pageSetup paperSize="0" scale="72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5245-44F6-475D-BCB6-D85A7146F523}">
  <sheetPr>
    <pageSetUpPr fitToPage="1"/>
  </sheetPr>
  <dimension ref="A1:M25"/>
  <sheetViews>
    <sheetView zoomScale="126" zoomScaleNormal="126" workbookViewId="0">
      <selection activeCell="K3" sqref="K3"/>
    </sheetView>
  </sheetViews>
  <sheetFormatPr baseColWidth="10" defaultColWidth="10.7109375" defaultRowHeight="13" x14ac:dyDescent="0.15"/>
  <cols>
    <col min="1" max="1" width="2.7109375" style="2" customWidth="1"/>
    <col min="2" max="2" width="22.140625" style="14" customWidth="1"/>
    <col min="3" max="5" width="9.7109375" style="2" customWidth="1"/>
    <col min="6" max="6" width="12.7109375" style="2" customWidth="1"/>
    <col min="7" max="7" width="9.7109375" style="2" customWidth="1"/>
    <col min="8" max="8" width="7.85546875" style="2" bestFit="1" customWidth="1"/>
    <col min="9" max="9" width="3.140625" style="2" customWidth="1"/>
    <col min="10" max="10" width="9.42578125" style="2" bestFit="1" customWidth="1"/>
    <col min="11" max="11" width="5.7109375" style="2" customWidth="1"/>
    <col min="12" max="12" width="19.7109375" style="2" bestFit="1" customWidth="1"/>
    <col min="13" max="13" width="8.28515625" style="2" bestFit="1" customWidth="1"/>
    <col min="14" max="16384" width="10.7109375" style="2"/>
  </cols>
  <sheetData>
    <row r="1" spans="1:13" ht="18" x14ac:dyDescent="0.2">
      <c r="A1" s="1" t="s">
        <v>49</v>
      </c>
    </row>
    <row r="2" spans="1:13" ht="14" thickBot="1" x14ac:dyDescent="0.2"/>
    <row r="3" spans="1:13" ht="14" thickBot="1" x14ac:dyDescent="0.2"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L3" s="3" t="s">
        <v>31</v>
      </c>
      <c r="M3" s="4" t="s">
        <v>32</v>
      </c>
    </row>
    <row r="4" spans="1:13" x14ac:dyDescent="0.15">
      <c r="C4" s="21" t="s">
        <v>37</v>
      </c>
      <c r="D4" s="21" t="s">
        <v>38</v>
      </c>
      <c r="E4" s="21" t="s">
        <v>39</v>
      </c>
      <c r="F4" s="21" t="s">
        <v>40</v>
      </c>
      <c r="G4" s="21" t="s">
        <v>41</v>
      </c>
      <c r="L4" s="5" t="s">
        <v>21</v>
      </c>
      <c r="M4" s="6" t="s">
        <v>26</v>
      </c>
    </row>
    <row r="5" spans="1:13" x14ac:dyDescent="0.15">
      <c r="B5" s="20" t="s">
        <v>42</v>
      </c>
      <c r="C5" s="13">
        <v>185</v>
      </c>
      <c r="D5" s="13">
        <v>176</v>
      </c>
      <c r="E5" s="13">
        <v>202</v>
      </c>
      <c r="F5" s="13">
        <v>220</v>
      </c>
      <c r="G5" s="13">
        <v>229</v>
      </c>
      <c r="J5" s="21" t="s">
        <v>46</v>
      </c>
      <c r="L5" s="7" t="s">
        <v>22</v>
      </c>
      <c r="M5" s="8" t="s">
        <v>27</v>
      </c>
    </row>
    <row r="6" spans="1:13" x14ac:dyDescent="0.15">
      <c r="H6" s="21" t="s">
        <v>20</v>
      </c>
      <c r="J6" s="21" t="s">
        <v>19</v>
      </c>
      <c r="L6" s="7" t="s">
        <v>23</v>
      </c>
      <c r="M6" s="8" t="s">
        <v>28</v>
      </c>
    </row>
    <row r="7" spans="1:13" x14ac:dyDescent="0.15">
      <c r="B7" s="20" t="s">
        <v>0</v>
      </c>
      <c r="E7" s="2" t="s">
        <v>17</v>
      </c>
      <c r="H7" s="21" t="s">
        <v>1</v>
      </c>
      <c r="J7" s="21" t="s">
        <v>18</v>
      </c>
      <c r="L7" s="7" t="s">
        <v>33</v>
      </c>
      <c r="M7" s="8" t="s">
        <v>34</v>
      </c>
    </row>
    <row r="8" spans="1:13" x14ac:dyDescent="0.15">
      <c r="B8" s="14" t="s">
        <v>8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2">
        <f t="shared" ref="H8:H17" si="0">SUMPRODUCT(C8:G8,NumberWorking)</f>
        <v>45</v>
      </c>
      <c r="I8" s="2" t="s">
        <v>35</v>
      </c>
      <c r="J8" s="9">
        <v>45</v>
      </c>
      <c r="L8" s="7" t="s">
        <v>24</v>
      </c>
      <c r="M8" s="8" t="s">
        <v>29</v>
      </c>
    </row>
    <row r="9" spans="1:13" ht="14" thickBot="1" x14ac:dyDescent="0.2">
      <c r="B9" s="14" t="s">
        <v>9</v>
      </c>
      <c r="C9" s="9">
        <v>1</v>
      </c>
      <c r="D9" s="9">
        <v>1</v>
      </c>
      <c r="E9" s="9">
        <v>0</v>
      </c>
      <c r="F9" s="9">
        <v>0</v>
      </c>
      <c r="G9" s="9">
        <v>0</v>
      </c>
      <c r="H9" s="2">
        <f t="shared" si="0"/>
        <v>94</v>
      </c>
      <c r="I9" s="2" t="s">
        <v>35</v>
      </c>
      <c r="J9" s="9">
        <v>88</v>
      </c>
      <c r="L9" s="10" t="s">
        <v>25</v>
      </c>
      <c r="M9" s="11" t="s">
        <v>30</v>
      </c>
    </row>
    <row r="10" spans="1:13" x14ac:dyDescent="0.15">
      <c r="B10" s="14" t="s">
        <v>14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2">
        <f t="shared" si="0"/>
        <v>94</v>
      </c>
      <c r="I10" s="2" t="s">
        <v>35</v>
      </c>
      <c r="J10" s="9">
        <v>71</v>
      </c>
    </row>
    <row r="11" spans="1:13" x14ac:dyDescent="0.15">
      <c r="B11" s="14" t="s">
        <v>15</v>
      </c>
      <c r="C11" s="9">
        <v>1</v>
      </c>
      <c r="D11" s="9">
        <v>1</v>
      </c>
      <c r="E11" s="9">
        <v>1</v>
      </c>
      <c r="F11" s="9">
        <v>0</v>
      </c>
      <c r="G11" s="9">
        <v>0</v>
      </c>
      <c r="H11" s="2">
        <f t="shared" si="0"/>
        <v>115</v>
      </c>
      <c r="I11" s="2" t="s">
        <v>35</v>
      </c>
      <c r="J11" s="9">
        <v>95</v>
      </c>
    </row>
    <row r="12" spans="1:13" x14ac:dyDescent="0.15">
      <c r="B12" s="14" t="s">
        <v>10</v>
      </c>
      <c r="C12" s="9">
        <v>0</v>
      </c>
      <c r="D12" s="9">
        <v>1</v>
      </c>
      <c r="E12" s="9">
        <v>1</v>
      </c>
      <c r="F12" s="9">
        <v>0</v>
      </c>
      <c r="G12" s="9">
        <v>0</v>
      </c>
      <c r="H12" s="2">
        <f t="shared" si="0"/>
        <v>70</v>
      </c>
      <c r="I12" s="2" t="s">
        <v>35</v>
      </c>
      <c r="J12" s="9">
        <v>70</v>
      </c>
    </row>
    <row r="13" spans="1:13" x14ac:dyDescent="0.15">
      <c r="B13" s="14" t="s">
        <v>11</v>
      </c>
      <c r="C13" s="9">
        <v>0</v>
      </c>
      <c r="D13" s="9">
        <v>0</v>
      </c>
      <c r="E13" s="9">
        <v>1</v>
      </c>
      <c r="F13" s="9">
        <v>1</v>
      </c>
      <c r="G13" s="9">
        <v>0</v>
      </c>
      <c r="H13" s="2">
        <f t="shared" si="0"/>
        <v>90</v>
      </c>
      <c r="I13" s="2" t="s">
        <v>35</v>
      </c>
      <c r="J13" s="9">
        <v>80</v>
      </c>
    </row>
    <row r="14" spans="1:13" x14ac:dyDescent="0.15">
      <c r="B14" s="14" t="s">
        <v>12</v>
      </c>
      <c r="C14" s="9">
        <v>0</v>
      </c>
      <c r="D14" s="9">
        <v>0</v>
      </c>
      <c r="E14" s="9">
        <v>1</v>
      </c>
      <c r="F14" s="9">
        <v>1</v>
      </c>
      <c r="G14" s="9">
        <v>0</v>
      </c>
      <c r="H14" s="2">
        <f t="shared" si="0"/>
        <v>90</v>
      </c>
      <c r="I14" s="2" t="s">
        <v>35</v>
      </c>
      <c r="J14" s="9">
        <v>90</v>
      </c>
    </row>
    <row r="15" spans="1:13" x14ac:dyDescent="0.15">
      <c r="B15" s="14" t="s">
        <v>13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2">
        <f t="shared" si="0"/>
        <v>69</v>
      </c>
      <c r="I15" s="2" t="s">
        <v>35</v>
      </c>
      <c r="J15" s="9">
        <v>69</v>
      </c>
    </row>
    <row r="16" spans="1:13" x14ac:dyDescent="0.15">
      <c r="B16" s="14" t="s">
        <v>2</v>
      </c>
      <c r="C16" s="9">
        <v>0</v>
      </c>
      <c r="D16" s="9">
        <v>0</v>
      </c>
      <c r="E16" s="9">
        <v>0</v>
      </c>
      <c r="F16" s="9">
        <v>1</v>
      </c>
      <c r="G16" s="9">
        <v>1</v>
      </c>
      <c r="H16" s="2">
        <f t="shared" si="0"/>
        <v>97</v>
      </c>
      <c r="I16" s="2" t="s">
        <v>35</v>
      </c>
      <c r="J16" s="9">
        <v>55</v>
      </c>
    </row>
    <row r="17" spans="2:10" x14ac:dyDescent="0.15">
      <c r="B17" s="14" t="s">
        <v>16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2">
        <f t="shared" si="0"/>
        <v>28</v>
      </c>
      <c r="I17" s="2" t="s">
        <v>35</v>
      </c>
      <c r="J17" s="9">
        <v>28</v>
      </c>
    </row>
    <row r="18" spans="2:10" x14ac:dyDescent="0.15">
      <c r="I18" s="12"/>
    </row>
    <row r="19" spans="2:10" x14ac:dyDescent="0.15"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</row>
    <row r="20" spans="2:10" ht="14" thickBot="1" x14ac:dyDescent="0.2">
      <c r="C20" s="2" t="s">
        <v>37</v>
      </c>
      <c r="D20" s="2" t="s">
        <v>38</v>
      </c>
      <c r="E20" s="2" t="s">
        <v>39</v>
      </c>
      <c r="F20" s="2" t="s">
        <v>40</v>
      </c>
      <c r="G20" s="2" t="s">
        <v>41</v>
      </c>
      <c r="J20" s="21" t="s">
        <v>45</v>
      </c>
    </row>
    <row r="21" spans="2:10" ht="14" thickBot="1" x14ac:dyDescent="0.2">
      <c r="B21" s="20" t="s">
        <v>43</v>
      </c>
      <c r="C21" s="16">
        <v>45</v>
      </c>
      <c r="D21" s="17">
        <v>49</v>
      </c>
      <c r="E21" s="17">
        <v>21</v>
      </c>
      <c r="F21" s="17">
        <v>69</v>
      </c>
      <c r="G21" s="18">
        <v>28</v>
      </c>
      <c r="J21" s="15">
        <f>SUMPRODUCT(CostPerShift,NumberWorking)</f>
        <v>42783</v>
      </c>
    </row>
    <row r="23" spans="2:10" x14ac:dyDescent="0.15">
      <c r="B23" s="20" t="s">
        <v>36</v>
      </c>
      <c r="C23" s="22">
        <f>C5*C21</f>
        <v>8325</v>
      </c>
      <c r="D23" s="22">
        <f>D5*D21</f>
        <v>8624</v>
      </c>
      <c r="E23" s="22">
        <f>E5*E21</f>
        <v>4242</v>
      </c>
      <c r="F23" s="22">
        <f>F5*F21</f>
        <v>15180</v>
      </c>
      <c r="G23" s="22">
        <f>G5*G21</f>
        <v>6412</v>
      </c>
      <c r="J23" s="19"/>
    </row>
    <row r="25" spans="2:10" x14ac:dyDescent="0.15">
      <c r="B25" s="20" t="s">
        <v>44</v>
      </c>
      <c r="G25" s="23">
        <f>SUM(NumberWorking)</f>
        <v>212</v>
      </c>
    </row>
  </sheetData>
  <printOptions headings="1" gridLines="1"/>
  <pageMargins left="0.75" right="0.75" top="1" bottom="1" header="0.5" footer="0.5"/>
  <pageSetup paperSize="0" scale="72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tabSelected="1" zoomScale="145" zoomScaleNormal="145" workbookViewId="0">
      <selection activeCell="C26" sqref="C26"/>
    </sheetView>
  </sheetViews>
  <sheetFormatPr baseColWidth="10" defaultColWidth="10.7109375" defaultRowHeight="13" x14ac:dyDescent="0.15"/>
  <cols>
    <col min="1" max="1" width="2.7109375" style="2" customWidth="1"/>
    <col min="2" max="2" width="22.140625" style="14" customWidth="1"/>
    <col min="3" max="5" width="9.7109375" style="2" customWidth="1"/>
    <col min="6" max="6" width="12.7109375" style="2" customWidth="1"/>
    <col min="7" max="7" width="9.7109375" style="2" customWidth="1"/>
    <col min="8" max="8" width="7.85546875" style="2" bestFit="1" customWidth="1"/>
    <col min="9" max="9" width="3.140625" style="2" customWidth="1"/>
    <col min="10" max="10" width="9.42578125" style="2" bestFit="1" customWidth="1"/>
    <col min="11" max="11" width="5.7109375" style="2" customWidth="1"/>
    <col min="12" max="12" width="19.7109375" style="2" bestFit="1" customWidth="1"/>
    <col min="13" max="13" width="8.28515625" style="2" bestFit="1" customWidth="1"/>
    <col min="14" max="16384" width="10.7109375" style="2"/>
  </cols>
  <sheetData>
    <row r="1" spans="1:13" ht="18" x14ac:dyDescent="0.2">
      <c r="A1" s="1" t="s">
        <v>47</v>
      </c>
    </row>
    <row r="2" spans="1:13" ht="14" thickBot="1" x14ac:dyDescent="0.2"/>
    <row r="3" spans="1:13" ht="14" thickBot="1" x14ac:dyDescent="0.2"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L3" s="3" t="s">
        <v>31</v>
      </c>
      <c r="M3" s="4" t="s">
        <v>32</v>
      </c>
    </row>
    <row r="4" spans="1:13" x14ac:dyDescent="0.15">
      <c r="C4" s="21" t="s">
        <v>37</v>
      </c>
      <c r="D4" s="21" t="s">
        <v>38</v>
      </c>
      <c r="E4" s="21" t="s">
        <v>39</v>
      </c>
      <c r="F4" s="21" t="s">
        <v>40</v>
      </c>
      <c r="G4" s="21" t="s">
        <v>41</v>
      </c>
      <c r="L4" s="5" t="s">
        <v>21</v>
      </c>
      <c r="M4" s="6" t="s">
        <v>26</v>
      </c>
    </row>
    <row r="5" spans="1:13" x14ac:dyDescent="0.15">
      <c r="B5" s="20" t="s">
        <v>42</v>
      </c>
      <c r="C5" s="13">
        <v>185</v>
      </c>
      <c r="D5" s="13">
        <v>176</v>
      </c>
      <c r="E5" s="13">
        <v>202</v>
      </c>
      <c r="F5" s="13">
        <v>220</v>
      </c>
      <c r="G5" s="13">
        <v>229</v>
      </c>
      <c r="J5" s="21" t="s">
        <v>46</v>
      </c>
      <c r="L5" s="7" t="s">
        <v>22</v>
      </c>
      <c r="M5" s="8" t="s">
        <v>27</v>
      </c>
    </row>
    <row r="6" spans="1:13" x14ac:dyDescent="0.15">
      <c r="H6" s="21" t="s">
        <v>20</v>
      </c>
      <c r="J6" s="21" t="s">
        <v>19</v>
      </c>
      <c r="L6" s="7" t="s">
        <v>23</v>
      </c>
      <c r="M6" s="8" t="s">
        <v>28</v>
      </c>
    </row>
    <row r="7" spans="1:13" x14ac:dyDescent="0.15">
      <c r="B7" s="20" t="s">
        <v>0</v>
      </c>
      <c r="E7" s="2" t="s">
        <v>17</v>
      </c>
      <c r="H7" s="21" t="s">
        <v>1</v>
      </c>
      <c r="J7" s="21" t="s">
        <v>18</v>
      </c>
      <c r="L7" s="7" t="s">
        <v>33</v>
      </c>
      <c r="M7" s="8" t="s">
        <v>34</v>
      </c>
    </row>
    <row r="8" spans="1:13" x14ac:dyDescent="0.15">
      <c r="B8" s="14" t="s">
        <v>8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2">
        <f t="shared" ref="H8:H17" si="0">SUMPRODUCT(C8:G8,NumberWorking)</f>
        <v>45</v>
      </c>
      <c r="I8" s="2" t="s">
        <v>35</v>
      </c>
      <c r="J8" s="9">
        <v>45</v>
      </c>
      <c r="L8" s="7" t="s">
        <v>24</v>
      </c>
      <c r="M8" s="8" t="s">
        <v>29</v>
      </c>
    </row>
    <row r="9" spans="1:13" ht="14" thickBot="1" x14ac:dyDescent="0.2">
      <c r="B9" s="14" t="s">
        <v>9</v>
      </c>
      <c r="C9" s="9">
        <v>1</v>
      </c>
      <c r="D9" s="9">
        <v>1</v>
      </c>
      <c r="E9" s="9">
        <v>0</v>
      </c>
      <c r="F9" s="9">
        <v>0</v>
      </c>
      <c r="G9" s="9">
        <v>0</v>
      </c>
      <c r="H9" s="2">
        <f t="shared" si="0"/>
        <v>94</v>
      </c>
      <c r="I9" s="2" t="s">
        <v>35</v>
      </c>
      <c r="J9" s="9">
        <v>88</v>
      </c>
      <c r="L9" s="10" t="s">
        <v>25</v>
      </c>
      <c r="M9" s="11" t="s">
        <v>30</v>
      </c>
    </row>
    <row r="10" spans="1:13" x14ac:dyDescent="0.15">
      <c r="B10" s="14" t="s">
        <v>14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2">
        <f t="shared" si="0"/>
        <v>94</v>
      </c>
      <c r="I10" s="2" t="s">
        <v>35</v>
      </c>
      <c r="J10" s="9">
        <v>71</v>
      </c>
    </row>
    <row r="11" spans="1:13" x14ac:dyDescent="0.15">
      <c r="B11" s="14" t="s">
        <v>15</v>
      </c>
      <c r="C11" s="9">
        <v>1</v>
      </c>
      <c r="D11" s="9">
        <v>1</v>
      </c>
      <c r="E11" s="9">
        <v>1</v>
      </c>
      <c r="F11" s="9">
        <v>0</v>
      </c>
      <c r="G11" s="9">
        <v>0</v>
      </c>
      <c r="H11" s="2">
        <f t="shared" si="0"/>
        <v>115</v>
      </c>
      <c r="I11" s="2" t="s">
        <v>35</v>
      </c>
      <c r="J11" s="9">
        <v>95</v>
      </c>
    </row>
    <row r="12" spans="1:13" x14ac:dyDescent="0.15">
      <c r="B12" s="14" t="s">
        <v>10</v>
      </c>
      <c r="C12" s="9">
        <v>0</v>
      </c>
      <c r="D12" s="9">
        <v>1</v>
      </c>
      <c r="E12" s="9">
        <v>1</v>
      </c>
      <c r="F12" s="9">
        <v>0</v>
      </c>
      <c r="G12" s="9">
        <v>0</v>
      </c>
      <c r="H12" s="2">
        <f t="shared" si="0"/>
        <v>70</v>
      </c>
      <c r="I12" s="2" t="s">
        <v>35</v>
      </c>
      <c r="J12" s="9">
        <v>70</v>
      </c>
    </row>
    <row r="13" spans="1:13" x14ac:dyDescent="0.15">
      <c r="B13" s="14" t="s">
        <v>11</v>
      </c>
      <c r="C13" s="9">
        <v>0</v>
      </c>
      <c r="D13" s="9">
        <v>0</v>
      </c>
      <c r="E13" s="9">
        <v>1</v>
      </c>
      <c r="F13" s="9">
        <v>1</v>
      </c>
      <c r="G13" s="9">
        <v>0</v>
      </c>
      <c r="H13" s="2">
        <f t="shared" si="0"/>
        <v>90</v>
      </c>
      <c r="I13" s="2" t="s">
        <v>35</v>
      </c>
      <c r="J13" s="9">
        <v>80</v>
      </c>
    </row>
    <row r="14" spans="1:13" x14ac:dyDescent="0.15">
      <c r="B14" s="14" t="s">
        <v>12</v>
      </c>
      <c r="C14" s="9">
        <v>0</v>
      </c>
      <c r="D14" s="9">
        <v>0</v>
      </c>
      <c r="E14" s="9">
        <v>1</v>
      </c>
      <c r="F14" s="9">
        <v>1</v>
      </c>
      <c r="G14" s="9">
        <v>0</v>
      </c>
      <c r="H14" s="2">
        <f t="shared" si="0"/>
        <v>90</v>
      </c>
      <c r="I14" s="2" t="s">
        <v>35</v>
      </c>
      <c r="J14" s="9">
        <v>90</v>
      </c>
    </row>
    <row r="15" spans="1:13" x14ac:dyDescent="0.15">
      <c r="B15" s="14" t="s">
        <v>13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2">
        <f t="shared" si="0"/>
        <v>69</v>
      </c>
      <c r="I15" s="2" t="s">
        <v>35</v>
      </c>
      <c r="J15" s="9">
        <v>69</v>
      </c>
    </row>
    <row r="16" spans="1:13" x14ac:dyDescent="0.15">
      <c r="B16" s="14" t="s">
        <v>2</v>
      </c>
      <c r="C16" s="9">
        <v>0</v>
      </c>
      <c r="D16" s="9">
        <v>0</v>
      </c>
      <c r="E16" s="9">
        <v>0</v>
      </c>
      <c r="F16" s="9">
        <v>1</v>
      </c>
      <c r="G16" s="9">
        <v>1</v>
      </c>
      <c r="H16" s="2">
        <f t="shared" si="0"/>
        <v>91</v>
      </c>
      <c r="I16" s="2" t="s">
        <v>35</v>
      </c>
      <c r="J16" s="9">
        <v>44</v>
      </c>
    </row>
    <row r="17" spans="2:10" x14ac:dyDescent="0.15">
      <c r="B17" s="14" t="s">
        <v>16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2">
        <f t="shared" si="0"/>
        <v>22</v>
      </c>
      <c r="I17" s="2" t="s">
        <v>35</v>
      </c>
      <c r="J17" s="9">
        <v>22</v>
      </c>
    </row>
    <row r="18" spans="2:10" x14ac:dyDescent="0.15">
      <c r="I18" s="12"/>
    </row>
    <row r="19" spans="2:10" x14ac:dyDescent="0.15"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</row>
    <row r="20" spans="2:10" ht="14" thickBot="1" x14ac:dyDescent="0.2">
      <c r="C20" s="2" t="s">
        <v>37</v>
      </c>
      <c r="D20" s="2" t="s">
        <v>38</v>
      </c>
      <c r="E20" s="2" t="s">
        <v>39</v>
      </c>
      <c r="F20" s="2" t="s">
        <v>40</v>
      </c>
      <c r="G20" s="2" t="s">
        <v>41</v>
      </c>
      <c r="J20" s="21" t="s">
        <v>45</v>
      </c>
    </row>
    <row r="21" spans="2:10" ht="14" thickBot="1" x14ac:dyDescent="0.2">
      <c r="B21" s="20" t="s">
        <v>43</v>
      </c>
      <c r="C21" s="16">
        <v>45</v>
      </c>
      <c r="D21" s="17">
        <v>49</v>
      </c>
      <c r="E21" s="17">
        <v>21</v>
      </c>
      <c r="F21" s="17">
        <v>69</v>
      </c>
      <c r="G21" s="18">
        <v>22</v>
      </c>
      <c r="J21" s="15">
        <f>SUMPRODUCT(CostPerShift,NumberWorking)</f>
        <v>41409</v>
      </c>
    </row>
    <row r="23" spans="2:10" x14ac:dyDescent="0.15">
      <c r="B23" s="20" t="s">
        <v>36</v>
      </c>
      <c r="C23" s="22">
        <f>C5*C21</f>
        <v>8325</v>
      </c>
      <c r="D23" s="22">
        <f>D5*D21</f>
        <v>8624</v>
      </c>
      <c r="E23" s="22">
        <f>E5*E21</f>
        <v>4242</v>
      </c>
      <c r="F23" s="22">
        <f>F5*F21</f>
        <v>15180</v>
      </c>
      <c r="G23" s="22">
        <f>G5*G21</f>
        <v>5038</v>
      </c>
      <c r="J23" s="19"/>
    </row>
    <row r="25" spans="2:10" x14ac:dyDescent="0.15">
      <c r="B25" s="20" t="s">
        <v>44</v>
      </c>
      <c r="G25" s="23">
        <f>SUM(NumberWorking)</f>
        <v>206</v>
      </c>
    </row>
  </sheetData>
  <phoneticPr fontId="0" type="noConversion"/>
  <printOptions headings="1" gridLines="1"/>
  <pageMargins left="0.75" right="0.75" top="1" bottom="1" header="0.5" footer="0.5"/>
  <pageSetup paperSize="0" scale="72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Understated (-30%)</vt:lpstr>
      <vt:lpstr>Overstted (+30%)</vt:lpstr>
      <vt:lpstr>Union Airways Optimal</vt:lpstr>
      <vt:lpstr>'Overstted (+30%)'!CostPerShift</vt:lpstr>
      <vt:lpstr>'Understated (-30%)'!CostPerShift</vt:lpstr>
      <vt:lpstr>CostPerShift</vt:lpstr>
      <vt:lpstr>'Overstted (+30%)'!MinimumNeeded</vt:lpstr>
      <vt:lpstr>'Understated (-30%)'!MinimumNeeded</vt:lpstr>
      <vt:lpstr>MinimumNeeded</vt:lpstr>
      <vt:lpstr>'Overstted (+30%)'!NumberWorking</vt:lpstr>
      <vt:lpstr>'Understated (-30%)'!NumberWorking</vt:lpstr>
      <vt:lpstr>NumberWorking</vt:lpstr>
      <vt:lpstr>'Overstted (+30%)'!ShiftWorksTimePeriod</vt:lpstr>
      <vt:lpstr>'Understated (-30%)'!ShiftWorksTimePeriod</vt:lpstr>
      <vt:lpstr>ShiftWorksTimePeriod</vt:lpstr>
      <vt:lpstr>'Overstted (+30%)'!TotalCost</vt:lpstr>
      <vt:lpstr>'Understated (-30%)'!TotalCost</vt:lpstr>
      <vt:lpstr>TotalCost</vt:lpstr>
      <vt:lpstr>'Overstted (+30%)'!TotalWorking</vt:lpstr>
      <vt:lpstr>'Understated (-30%)'!TotalWorking</vt:lpstr>
      <vt:lpstr>TotalWorking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Vishnu Vardhan Akula</cp:lastModifiedBy>
  <cp:lastPrinted>2023-03-21T19:31:12Z</cp:lastPrinted>
  <dcterms:created xsi:type="dcterms:W3CDTF">2023-03-21T18:23:07Z</dcterms:created>
  <dcterms:modified xsi:type="dcterms:W3CDTF">2025-11-20T04:59:55Z</dcterms:modified>
  <cp:category/>
</cp:coreProperties>
</file>